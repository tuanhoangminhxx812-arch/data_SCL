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4. Công nghệ AI\KT SCL\"/>
    </mc:Choice>
  </mc:AlternateContent>
  <xr:revisionPtr revIDLastSave="0" documentId="13_ncr:1_{0DB15E59-274E-4EF8-ABCC-5FED87F16A26}" xr6:coauthVersionLast="47" xr6:coauthVersionMax="47" xr10:uidLastSave="{00000000-0000-0000-0000-000000000000}"/>
  <bookViews>
    <workbookView xWindow="-108" yWindow="-108" windowWidth="30936" windowHeight="16776" xr2:uid="{4F154530-DC22-4726-9F8F-9D69EBCA6AFE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" i="1" l="1"/>
  <c r="Y11" i="1"/>
  <c r="Y10" i="1"/>
  <c r="Y9" i="1"/>
  <c r="Y8" i="1"/>
  <c r="Y7" i="1"/>
  <c r="Y6" i="1"/>
  <c r="Y5" i="1"/>
  <c r="Y4" i="1"/>
  <c r="Y3" i="1"/>
  <c r="J3" i="1"/>
  <c r="J11" i="1" s="1"/>
  <c r="J12" i="1" s="1"/>
  <c r="Y2" i="1"/>
  <c r="Z2" i="1"/>
</calcChain>
</file>

<file path=xl/sharedStrings.xml><?xml version="1.0" encoding="utf-8"?>
<sst xmlns="http://schemas.openxmlformats.org/spreadsheetml/2006/main" count="63" uniqueCount="43">
  <si>
    <t>STT</t>
  </si>
  <si>
    <t>Tên Công trình</t>
  </si>
  <si>
    <t>Mã CT</t>
  </si>
  <si>
    <t>Kế hoạch</t>
  </si>
  <si>
    <t>Số Phương án</t>
  </si>
  <si>
    <t>Ngày Phương án</t>
  </si>
  <si>
    <t>Giá trị Phương án</t>
  </si>
  <si>
    <t>Số Dự toán</t>
  </si>
  <si>
    <t>Ngày Dự toán</t>
  </si>
  <si>
    <t>Giá trị Dự toán</t>
  </si>
  <si>
    <t>Số Hợp đồng thiết kế</t>
  </si>
  <si>
    <t>Ngày Hợp đồng thiết kế</t>
  </si>
  <si>
    <t>Giá trị Hợp đồng thiết kế</t>
  </si>
  <si>
    <t>Số Hợp đồng giám sát</t>
  </si>
  <si>
    <t>Ngày Hợp đồng giám sát</t>
  </si>
  <si>
    <t>Giá trị Hợp đồng giám sát</t>
  </si>
  <si>
    <t>Số Hợp đồng xây lắp</t>
  </si>
  <si>
    <t>Ngày Hợp đồng xây lắp</t>
  </si>
  <si>
    <t>Giá trị Hợp đồng xây lắp</t>
  </si>
  <si>
    <t>Giá trị phát sinh</t>
  </si>
  <si>
    <t>Giá trị VT thừa</t>
  </si>
  <si>
    <t>Giá trị VTTH</t>
  </si>
  <si>
    <t>Số Q.định phê duyệt QT công trình</t>
  </si>
  <si>
    <t>Ngày Q.định phê duyệt QT công trình</t>
  </si>
  <si>
    <t>Giá trị Q.định phê duyệt QT công trình</t>
  </si>
  <si>
    <t>Số tiền bằng chữ</t>
  </si>
  <si>
    <t>Ghi chú</t>
  </si>
  <si>
    <t>Đơn vị QL</t>
  </si>
  <si>
    <t>I</t>
  </si>
  <si>
    <t>Sửa chữa lớn TSCĐ hệ thống đo đếm trên địa bàn Công ty Điện lực Vũng Tàu năm 2026 - Phần bảo trì TU, TI</t>
  </si>
  <si>
    <t>VTAD2606001</t>
  </si>
  <si>
    <t>Tự thực hiện</t>
  </si>
  <si>
    <t>Công ty Điện lực Vũng Tàu</t>
  </si>
  <si>
    <t>Chi phí thiết bị</t>
  </si>
  <si>
    <t>VT A cấp</t>
  </si>
  <si>
    <t>Chi phí thí nghiệm, hiệu chỉnh</t>
  </si>
  <si>
    <t>Chi phí vật tư</t>
  </si>
  <si>
    <t>Chi phí sửa chữa</t>
  </si>
  <si>
    <t>Chi phí khác</t>
  </si>
  <si>
    <t>Chi phí dự phòng</t>
  </si>
  <si>
    <t>VTTH</t>
  </si>
  <si>
    <t>Giá trị trước thuế</t>
  </si>
  <si>
    <t>Thuế 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</si>
</sst>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00"/>
    <numFmt numFmtId="166" formatCode="_-* #,##0\ _₫_-;\-* #,##0\ _₫_-;_-* &quot;-&quot;??\ _₫_-;_-@_-"/>
  </numFmts>
  <fonts count="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>
      <alignment vertical="top"/>
    </xf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166" fontId="3" fillId="3" borderId="1" xfId="1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vertical="center"/>
    </xf>
    <xf numFmtId="166" fontId="3" fillId="3" borderId="1" xfId="1" applyNumberFormat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6" fontId="3" fillId="3" borderId="1" xfId="0" applyNumberFormat="1" applyFont="1" applyFill="1" applyBorder="1" applyAlignment="1">
      <alignment vertical="center"/>
    </xf>
    <xf numFmtId="166" fontId="3" fillId="3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2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6" fontId="3" fillId="0" borderId="1" xfId="1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166" fontId="3" fillId="0" borderId="1" xfId="0" applyNumberFormat="1" applyFont="1" applyBorder="1" applyAlignment="1">
      <alignment vertical="center" wrapText="1"/>
    </xf>
    <xf numFmtId="0" fontId="3" fillId="3" borderId="1" xfId="2" applyFont="1" applyFill="1" applyBorder="1" applyAlignment="1">
      <alignment vertical="center" wrapText="1"/>
    </xf>
    <xf numFmtId="164" fontId="3" fillId="3" borderId="3" xfId="0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166" fontId="3" fillId="3" borderId="3" xfId="1" applyNumberFormat="1" applyFont="1" applyFill="1" applyBorder="1" applyAlignment="1">
      <alignment vertical="center"/>
    </xf>
    <xf numFmtId="164" fontId="3" fillId="3" borderId="3" xfId="1" applyNumberFormat="1" applyFont="1" applyFill="1" applyBorder="1" applyAlignment="1">
      <alignment vertical="center"/>
    </xf>
    <xf numFmtId="166" fontId="3" fillId="3" borderId="3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Normal 3 8" xfId="2" xr:uid="{480568DD-E675-4146-96F9-65AA526113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ull%20addin%20excel%20(v12.02)\full%20addin%20excel\vbaexcel.dll" TargetMode="External"/><Relationship Id="rId1" Type="http://schemas.openxmlformats.org/officeDocument/2006/relationships/externalLinkPath" Target="file:///C:\full%20addin%20excel%20(v12.02)\full%20addin%20excel\vbaexcel.dll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.SCL/2026/1.%20SCL%20TSC&#272;%20HT&#272;&#272;_Ph&#7847;n%20TU-TI_2026/VTA.CT2026_SCL%20HTD&#272;_Ph&#7847;n%20TU-TI.xlsx" TargetMode="External"/><Relationship Id="rId2" Type="http://schemas.openxmlformats.org/officeDocument/2006/relationships/externalLinkPath" Target="file:///D:\1.%20TCKT_PCVT\2.SCL\2026\1.%20SCL%20TSC&#272;%20HT&#272;&#272;_Ph&#7847;n%20TU-TI_2026\VTA.CT2026_SCL%20HTD&#272;_Ph&#7847;n%20TU-TI.xlsx" TargetMode="External"/><Relationship Id="rId1" Type="http://schemas.openxmlformats.org/officeDocument/2006/relationships/externalLinkPath" Target="/1.%20TCKT_PCVT/2.SCL/2026/1.%20SCL%20TSC&#272;%20HT&#272;&#272;_Ph&#7847;n%20TU-TI_2026/VTA.CT2026_SCL%20HTD&#272;_Ph&#7847;n%20TU-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K_Keys"/>
      <sheetName val="SC241296"/>
      <sheetName val="Fonts241296"/>
      <sheetName val="thientuthientu"/>
      <sheetName val="BupFlag"/>
      <sheetName val="File_Manager_Support"/>
      <sheetName val="Hotkeys"/>
      <sheetName val="Support"/>
      <sheetName val="Macro1111"/>
      <sheetName val="Worksheet_Manager_Support"/>
      <sheetName val="FLib"/>
    </sheetNames>
    <definedNames>
      <definedName name="docso_uni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g kê thuê ngoài"/>
      <sheetName val="Bảng kê tự thực hiện"/>
      <sheetName val="Sheet1"/>
      <sheetName val="Mẫu 04"/>
      <sheetName val="4.thuyết minh QT"/>
      <sheetName val="12.QĐ QT CT (2)"/>
      <sheetName val="10.Phiếu thẩm tra QT CT (2)"/>
      <sheetName val="11.BC TT QT CT  (2)"/>
    </sheetNames>
    <sheetDataSet>
      <sheetData sheetId="0"/>
      <sheetData sheetId="1">
        <row r="2">
          <cell r="Y2">
            <v>13650367159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E655-3695-421B-AB08-1F46E2670863}">
  <dimension ref="A1:AB12"/>
  <sheetViews>
    <sheetView tabSelected="1" workbookViewId="0">
      <selection activeCell="D2" sqref="D2"/>
    </sheetView>
  </sheetViews>
  <sheetFormatPr defaultRowHeight="15.6" x14ac:dyDescent="0.3"/>
  <cols>
    <col min="2" max="2" width="19.796875" customWidth="1"/>
    <col min="3" max="3" width="10.5" customWidth="1"/>
    <col min="10" max="10" width="20.09765625" customWidth="1"/>
  </cols>
  <sheetData>
    <row r="1" spans="1:28" ht="93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5" t="s">
        <v>25</v>
      </c>
      <c r="AA1" s="6" t="s">
        <v>26</v>
      </c>
      <c r="AB1" s="1" t="s">
        <v>27</v>
      </c>
    </row>
    <row r="2" spans="1:28" ht="202.8" x14ac:dyDescent="0.3">
      <c r="A2" s="7" t="s">
        <v>28</v>
      </c>
      <c r="B2" s="8" t="s">
        <v>29</v>
      </c>
      <c r="C2" s="7" t="s">
        <v>30</v>
      </c>
      <c r="D2" s="9">
        <v>10000</v>
      </c>
      <c r="E2" s="10">
        <v>7</v>
      </c>
      <c r="F2" s="11">
        <v>46034</v>
      </c>
      <c r="G2" s="12">
        <v>13650367159</v>
      </c>
      <c r="H2" s="10">
        <v>7</v>
      </c>
      <c r="I2" s="11">
        <v>46034</v>
      </c>
      <c r="J2" s="12">
        <v>13650367159</v>
      </c>
      <c r="K2" s="13"/>
      <c r="L2" s="12"/>
      <c r="M2" s="12"/>
      <c r="N2" s="13"/>
      <c r="O2" s="12"/>
      <c r="P2" s="12"/>
      <c r="Q2" s="13"/>
      <c r="R2" s="12"/>
      <c r="S2" s="12"/>
      <c r="T2" s="14"/>
      <c r="U2" s="14"/>
      <c r="V2" s="14"/>
      <c r="W2" s="15"/>
      <c r="X2" s="14"/>
      <c r="Y2" s="16">
        <f>[2]!Table2[[#This Row],[Giá trị Dự toán]]+[2]!Table2[[#This Row],[Giá trị phát sinh]]-[2]!Table2[[#This Row],[Giá trị VT thừa]]-[2]!Table2[[#This Row],[Giá trị VTTH]]</f>
        <v>13650367159</v>
      </c>
      <c r="Z2" s="17" t="str">
        <f>[1]!docso_uni('[2]Bảng kê tự thực hiện'!Y$2)</f>
        <v xml:space="preserve">Mười ba tỷ sáu trăm năm mươi triệu ba trăm sáu mươi bảy nghìn một trăm năm mươi chín đồng </v>
      </c>
      <c r="AA2" s="14" t="s">
        <v>31</v>
      </c>
      <c r="AB2" s="14" t="s">
        <v>32</v>
      </c>
    </row>
    <row r="3" spans="1:28" ht="31.2" x14ac:dyDescent="0.3">
      <c r="A3" s="18">
        <v>1</v>
      </c>
      <c r="B3" s="19" t="s">
        <v>33</v>
      </c>
      <c r="C3" s="18"/>
      <c r="D3" s="18"/>
      <c r="E3" s="20"/>
      <c r="F3" s="21"/>
      <c r="G3" s="22"/>
      <c r="H3" s="23"/>
      <c r="I3" s="21"/>
      <c r="J3" s="22">
        <f>J4+J5</f>
        <v>13000351762</v>
      </c>
      <c r="K3" s="24"/>
      <c r="L3" s="22"/>
      <c r="M3" s="22"/>
      <c r="N3" s="24"/>
      <c r="O3" s="22"/>
      <c r="P3" s="22"/>
      <c r="Q3" s="24"/>
      <c r="R3" s="22"/>
      <c r="S3" s="22"/>
      <c r="T3" s="21"/>
      <c r="U3" s="21"/>
      <c r="V3" s="21"/>
      <c r="W3" s="23"/>
      <c r="X3" s="21"/>
      <c r="Y3" s="25">
        <f>[2]!Table2[[#This Row],[Giá trị Dự toán]]+[2]!Table2[[#This Row],[Giá trị phát sinh]]-[2]!Table2[[#This Row],[Giá trị VT thừa]]-[2]!Table2[[#This Row],[Giá trị VTTH]]</f>
        <v>13000351762</v>
      </c>
      <c r="Z3" s="26"/>
      <c r="AA3" s="21" t="s">
        <v>31</v>
      </c>
      <c r="AB3" s="21" t="s">
        <v>32</v>
      </c>
    </row>
    <row r="4" spans="1:28" x14ac:dyDescent="0.3">
      <c r="A4" s="7">
        <v>1.1000000000000001</v>
      </c>
      <c r="B4" s="27" t="s">
        <v>34</v>
      </c>
      <c r="C4" s="7"/>
      <c r="D4" s="7"/>
      <c r="E4" s="10"/>
      <c r="F4" s="14"/>
      <c r="G4" s="12"/>
      <c r="H4" s="15"/>
      <c r="I4" s="14"/>
      <c r="J4" s="12">
        <v>11705488281</v>
      </c>
      <c r="K4" s="13"/>
      <c r="L4" s="12"/>
      <c r="M4" s="12"/>
      <c r="N4" s="13"/>
      <c r="O4" s="12"/>
      <c r="P4" s="12"/>
      <c r="Q4" s="13"/>
      <c r="R4" s="12"/>
      <c r="S4" s="12"/>
      <c r="T4" s="14"/>
      <c r="U4" s="14"/>
      <c r="V4" s="14"/>
      <c r="W4" s="15"/>
      <c r="X4" s="14"/>
      <c r="Y4" s="16">
        <f>[2]!Table2[[#This Row],[Giá trị Dự toán]]+[2]!Table2[[#This Row],[Giá trị phát sinh]]-[2]!Table2[[#This Row],[Giá trị VT thừa]]-[2]!Table2[[#This Row],[Giá trị VTTH]]</f>
        <v>11705488281</v>
      </c>
      <c r="Z4" s="14"/>
      <c r="AA4" s="14" t="s">
        <v>31</v>
      </c>
      <c r="AB4" s="14" t="s">
        <v>32</v>
      </c>
    </row>
    <row r="5" spans="1:28" ht="78" x14ac:dyDescent="0.3">
      <c r="A5" s="18">
        <v>1.2</v>
      </c>
      <c r="B5" s="19" t="s">
        <v>35</v>
      </c>
      <c r="C5" s="18"/>
      <c r="D5" s="18"/>
      <c r="E5" s="20"/>
      <c r="F5" s="21"/>
      <c r="G5" s="22"/>
      <c r="H5" s="23"/>
      <c r="I5" s="21"/>
      <c r="J5" s="22">
        <v>1294863481</v>
      </c>
      <c r="K5" s="24"/>
      <c r="L5" s="22"/>
      <c r="M5" s="22"/>
      <c r="N5" s="24"/>
      <c r="O5" s="22"/>
      <c r="P5" s="22"/>
      <c r="Q5" s="24"/>
      <c r="R5" s="22"/>
      <c r="S5" s="22"/>
      <c r="T5" s="21"/>
      <c r="U5" s="21"/>
      <c r="V5" s="21"/>
      <c r="W5" s="23"/>
      <c r="X5" s="21"/>
      <c r="Y5" s="25">
        <f>[2]!Table2[[#This Row],[Giá trị Dự toán]]+[2]!Table2[[#This Row],[Giá trị phát sinh]]-[2]!Table2[[#This Row],[Giá trị VT thừa]]-[2]!Table2[[#This Row],[Giá trị VTTH]]</f>
        <v>1294863481</v>
      </c>
      <c r="Z5" s="21"/>
      <c r="AA5" s="21" t="s">
        <v>31</v>
      </c>
      <c r="AB5" s="21" t="s">
        <v>32</v>
      </c>
    </row>
    <row r="6" spans="1:28" ht="31.2" x14ac:dyDescent="0.3">
      <c r="A6" s="7">
        <v>2</v>
      </c>
      <c r="B6" s="27" t="s">
        <v>36</v>
      </c>
      <c r="C6" s="7"/>
      <c r="D6" s="7"/>
      <c r="E6" s="10"/>
      <c r="F6" s="14"/>
      <c r="G6" s="12"/>
      <c r="H6" s="15"/>
      <c r="I6" s="14"/>
      <c r="J6" s="12">
        <v>0</v>
      </c>
      <c r="K6" s="13"/>
      <c r="L6" s="12"/>
      <c r="M6" s="12"/>
      <c r="N6" s="13"/>
      <c r="O6" s="12"/>
      <c r="P6" s="12"/>
      <c r="Q6" s="13"/>
      <c r="R6" s="12"/>
      <c r="S6" s="12"/>
      <c r="T6" s="14"/>
      <c r="U6" s="14"/>
      <c r="V6" s="14"/>
      <c r="W6" s="15"/>
      <c r="X6" s="14"/>
      <c r="Y6" s="16">
        <f>[2]!Table2[[#This Row],[Giá trị Dự toán]]+[2]!Table2[[#This Row],[Giá trị phát sinh]]-[2]!Table2[[#This Row],[Giá trị VT thừa]]-[2]!Table2[[#This Row],[Giá trị VTTH]]</f>
        <v>0</v>
      </c>
      <c r="Z6" s="14"/>
      <c r="AA6" s="14" t="s">
        <v>31</v>
      </c>
      <c r="AB6" s="14" t="s">
        <v>32</v>
      </c>
    </row>
    <row r="7" spans="1:28" ht="31.2" x14ac:dyDescent="0.3">
      <c r="A7" s="18">
        <v>3</v>
      </c>
      <c r="B7" s="19" t="s">
        <v>37</v>
      </c>
      <c r="C7" s="18"/>
      <c r="D7" s="18"/>
      <c r="E7" s="20"/>
      <c r="F7" s="21"/>
      <c r="G7" s="22"/>
      <c r="H7" s="23"/>
      <c r="I7" s="21"/>
      <c r="J7" s="22">
        <v>0</v>
      </c>
      <c r="K7" s="24"/>
      <c r="L7" s="22"/>
      <c r="M7" s="22"/>
      <c r="N7" s="24"/>
      <c r="O7" s="22"/>
      <c r="P7" s="22"/>
      <c r="Q7" s="24"/>
      <c r="R7" s="22"/>
      <c r="S7" s="22"/>
      <c r="T7" s="21"/>
      <c r="U7" s="21"/>
      <c r="V7" s="21"/>
      <c r="W7" s="23"/>
      <c r="X7" s="21"/>
      <c r="Y7" s="25">
        <f>[2]!Table2[[#This Row],[Giá trị Dự toán]]+[2]!Table2[[#This Row],[Giá trị phát sinh]]-[2]!Table2[[#This Row],[Giá trị VT thừa]]-[2]!Table2[[#This Row],[Giá trị VTTH]]</f>
        <v>0</v>
      </c>
      <c r="Z7" s="21"/>
      <c r="AA7" s="21" t="s">
        <v>31</v>
      </c>
      <c r="AB7" s="21" t="s">
        <v>32</v>
      </c>
    </row>
    <row r="8" spans="1:28" ht="31.2" x14ac:dyDescent="0.3">
      <c r="A8" s="7">
        <v>4</v>
      </c>
      <c r="B8" s="27" t="s">
        <v>38</v>
      </c>
      <c r="C8" s="7"/>
      <c r="D8" s="7"/>
      <c r="E8" s="10"/>
      <c r="F8" s="14"/>
      <c r="G8" s="12"/>
      <c r="H8" s="15"/>
      <c r="I8" s="14"/>
      <c r="J8" s="12">
        <v>0</v>
      </c>
      <c r="K8" s="13"/>
      <c r="L8" s="12"/>
      <c r="M8" s="12"/>
      <c r="N8" s="13"/>
      <c r="O8" s="12"/>
      <c r="P8" s="12"/>
      <c r="Q8" s="13"/>
      <c r="R8" s="12"/>
      <c r="S8" s="12"/>
      <c r="T8" s="14"/>
      <c r="U8" s="14"/>
      <c r="V8" s="14"/>
      <c r="W8" s="15"/>
      <c r="X8" s="14"/>
      <c r="Y8" s="16">
        <f>[2]!Table2[[#This Row],[Giá trị Dự toán]]+[2]!Table2[[#This Row],[Giá trị phát sinh]]-[2]!Table2[[#This Row],[Giá trị VT thừa]]-[2]!Table2[[#This Row],[Giá trị VTTH]]</f>
        <v>0</v>
      </c>
      <c r="Z8" s="14"/>
      <c r="AA8" s="14" t="s">
        <v>31</v>
      </c>
      <c r="AB8" s="14" t="s">
        <v>32</v>
      </c>
    </row>
    <row r="9" spans="1:28" ht="31.2" x14ac:dyDescent="0.3">
      <c r="A9" s="18">
        <v>5</v>
      </c>
      <c r="B9" s="19" t="s">
        <v>39</v>
      </c>
      <c r="C9" s="18"/>
      <c r="D9" s="18"/>
      <c r="E9" s="20"/>
      <c r="F9" s="21"/>
      <c r="G9" s="22"/>
      <c r="H9" s="23"/>
      <c r="I9" s="21"/>
      <c r="J9" s="22">
        <v>650017588</v>
      </c>
      <c r="K9" s="24"/>
      <c r="L9" s="22"/>
      <c r="M9" s="22"/>
      <c r="N9" s="24"/>
      <c r="O9" s="22"/>
      <c r="P9" s="22"/>
      <c r="Q9" s="24"/>
      <c r="R9" s="22"/>
      <c r="S9" s="22"/>
      <c r="T9" s="21"/>
      <c r="U9" s="21"/>
      <c r="V9" s="21"/>
      <c r="W9" s="23"/>
      <c r="X9" s="21"/>
      <c r="Y9" s="25">
        <f>[2]!Table2[[#This Row],[Giá trị Dự toán]]+[2]!Table2[[#This Row],[Giá trị phát sinh]]-[2]!Table2[[#This Row],[Giá trị VT thừa]]-[2]!Table2[[#This Row],[Giá trị VTTH]]</f>
        <v>650017588</v>
      </c>
      <c r="Z9" s="21"/>
      <c r="AA9" s="21" t="s">
        <v>31</v>
      </c>
      <c r="AB9" s="21" t="s">
        <v>32</v>
      </c>
    </row>
    <row r="10" spans="1:28" x14ac:dyDescent="0.3">
      <c r="A10" s="7">
        <v>6</v>
      </c>
      <c r="B10" s="14" t="s">
        <v>40</v>
      </c>
      <c r="C10" s="7"/>
      <c r="D10" s="7"/>
      <c r="E10" s="10"/>
      <c r="F10" s="14"/>
      <c r="G10" s="12"/>
      <c r="H10" s="28"/>
      <c r="I10" s="29"/>
      <c r="J10" s="30">
        <v>2191</v>
      </c>
      <c r="K10" s="31"/>
      <c r="L10" s="30"/>
      <c r="M10" s="30"/>
      <c r="N10" s="31"/>
      <c r="O10" s="30"/>
      <c r="P10" s="30"/>
      <c r="Q10" s="31"/>
      <c r="R10" s="30"/>
      <c r="S10" s="30"/>
      <c r="T10" s="29"/>
      <c r="U10" s="29"/>
      <c r="V10" s="29"/>
      <c r="W10" s="28"/>
      <c r="X10" s="29"/>
      <c r="Y10" s="32">
        <f>[2]!Table2[[#This Row],[Giá trị Dự toán]]+[2]!Table2[[#This Row],[Giá trị phát sinh]]-[2]!Table2[[#This Row],[Giá trị VT thừa]]-[2]!Table2[[#This Row],[Giá trị VTTH]]</f>
        <v>2191</v>
      </c>
      <c r="Z10" s="29"/>
      <c r="AA10" s="14" t="s">
        <v>31</v>
      </c>
      <c r="AB10" s="14" t="s">
        <v>32</v>
      </c>
    </row>
    <row r="11" spans="1:28" ht="46.8" x14ac:dyDescent="0.3">
      <c r="A11" s="18">
        <v>7</v>
      </c>
      <c r="B11" s="33" t="s">
        <v>41</v>
      </c>
      <c r="C11" s="18"/>
      <c r="D11" s="18"/>
      <c r="E11" s="20"/>
      <c r="F11" s="21"/>
      <c r="G11" s="21"/>
      <c r="H11" s="34"/>
      <c r="I11" s="35"/>
      <c r="J11" s="36">
        <f>J3+J9-J10</f>
        <v>13650367159</v>
      </c>
      <c r="K11" s="34"/>
      <c r="L11" s="36"/>
      <c r="M11" s="36"/>
      <c r="N11" s="34"/>
      <c r="O11" s="36"/>
      <c r="P11" s="36"/>
      <c r="Q11" s="34"/>
      <c r="R11" s="36"/>
      <c r="S11" s="36"/>
      <c r="T11" s="21"/>
      <c r="U11" s="21"/>
      <c r="V11" s="21"/>
      <c r="W11" s="23"/>
      <c r="X11" s="21"/>
      <c r="Y11" s="25">
        <f>[2]!Table2[[#This Row],[Giá trị Dự toán]]+[2]!Table2[[#This Row],[Giá trị phát sinh]]-[2]!Table2[[#This Row],[Giá trị VT thừa]]-[2]!Table2[[#This Row],[Giá trị VTTH]]</f>
        <v>13650367159</v>
      </c>
      <c r="Z11" s="21"/>
      <c r="AA11" s="21" t="s">
        <v>31</v>
      </c>
      <c r="AB11" s="21" t="s">
        <v>32</v>
      </c>
    </row>
    <row r="12" spans="1:28" x14ac:dyDescent="0.3">
      <c r="A12" s="7">
        <v>8</v>
      </c>
      <c r="B12" s="14" t="s">
        <v>42</v>
      </c>
      <c r="C12" s="7"/>
      <c r="D12" s="7"/>
      <c r="E12" s="10"/>
      <c r="F12" s="14"/>
      <c r="G12" s="12"/>
      <c r="H12" s="15"/>
      <c r="I12" s="14"/>
      <c r="J12" s="12">
        <f>ROUND(J11*8%,0)</f>
        <v>1092029373</v>
      </c>
      <c r="K12" s="13"/>
      <c r="L12" s="12"/>
      <c r="M12" s="12"/>
      <c r="N12" s="13"/>
      <c r="O12" s="12"/>
      <c r="P12" s="12"/>
      <c r="Q12" s="13"/>
      <c r="R12" s="12"/>
      <c r="S12" s="12"/>
      <c r="T12" s="14"/>
      <c r="U12" s="14"/>
      <c r="V12" s="14"/>
      <c r="W12" s="15"/>
      <c r="X12" s="14"/>
      <c r="Y12" s="16">
        <f>[2]!Table2[[#This Row],[Giá trị Dự toán]]+[2]!Table2[[#This Row],[Giá trị phát sinh]]-[2]!Table2[[#This Row],[Giá trị VT thừa]]-[2]!Table2[[#This Row],[Giá trị VTTH]]</f>
        <v>1092029373</v>
      </c>
      <c r="Z12" s="14"/>
      <c r="AA12" s="14" t="s">
        <v>31</v>
      </c>
      <c r="AB12" s="1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2026-03-26T01:49:31Z</dcterms:created>
  <dcterms:modified xsi:type="dcterms:W3CDTF">2026-03-26T01:50:53Z</dcterms:modified>
</cp:coreProperties>
</file>