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4. Công nghệ AI\KT SCL\"/>
    </mc:Choice>
  </mc:AlternateContent>
  <xr:revisionPtr revIDLastSave="0" documentId="8_{86282BCA-09B1-4496-93E7-DE02CEDD0FBE}" xr6:coauthVersionLast="47" xr6:coauthVersionMax="47" xr10:uidLastSave="{00000000-0000-0000-0000-000000000000}"/>
  <bookViews>
    <workbookView xWindow="-108" yWindow="-108" windowWidth="30936" windowHeight="16776" xr2:uid="{A439DE6B-9C24-4515-A34E-F0299F1E52C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F51" i="1" s="1"/>
  <c r="D50" i="1"/>
  <c r="F50" i="1" s="1"/>
  <c r="H50" i="1" s="1"/>
  <c r="G48" i="1"/>
  <c r="D48" i="1"/>
  <c r="F48" i="1" s="1"/>
  <c r="D47" i="1"/>
  <c r="D49" i="1" s="1"/>
  <c r="F49" i="1" s="1"/>
  <c r="D46" i="1"/>
  <c r="F46" i="1" s="1"/>
  <c r="H46" i="1" s="1"/>
  <c r="F42" i="1"/>
  <c r="H42" i="1" s="1"/>
  <c r="F41" i="1"/>
  <c r="H41" i="1" s="1"/>
  <c r="F40" i="1"/>
  <c r="H40" i="1" s="1"/>
  <c r="F39" i="1"/>
  <c r="H39" i="1" s="1"/>
  <c r="F38" i="1"/>
  <c r="H38" i="1" s="1"/>
  <c r="F37" i="1"/>
  <c r="H37" i="1" s="1"/>
  <c r="G36" i="1"/>
  <c r="D36" i="1"/>
  <c r="F36" i="1" s="1"/>
  <c r="E24" i="1"/>
  <c r="E19" i="1" s="1"/>
  <c r="F19" i="1" s="1"/>
  <c r="F22" i="1"/>
  <c r="H22" i="1" s="1"/>
  <c r="F21" i="1"/>
  <c r="H21" i="1" s="1"/>
  <c r="F20" i="1"/>
  <c r="H20" i="1" s="1"/>
  <c r="G19" i="1"/>
  <c r="H19" i="1" s="1"/>
  <c r="D19" i="1"/>
  <c r="G18" i="1"/>
  <c r="F17" i="1"/>
  <c r="D16" i="1"/>
  <c r="F16" i="1" s="1"/>
  <c r="H16" i="1" s="1"/>
  <c r="F15" i="1"/>
  <c r="H15" i="1" s="1"/>
  <c r="D14" i="1"/>
  <c r="F14" i="1" s="1"/>
  <c r="H14" i="1" s="1"/>
  <c r="F13" i="1"/>
  <c r="H13" i="1" s="1"/>
  <c r="G12" i="1"/>
  <c r="G47" i="1" s="1"/>
  <c r="D12" i="1"/>
  <c r="D44" i="1" s="1"/>
  <c r="G11" i="1"/>
  <c r="E11" i="1"/>
  <c r="D8" i="1"/>
  <c r="F44" i="1" l="1"/>
  <c r="H44" i="1" s="1"/>
  <c r="G51" i="1"/>
  <c r="H51" i="1" s="1"/>
  <c r="G49" i="1"/>
  <c r="H49" i="1" s="1"/>
  <c r="H36" i="1"/>
  <c r="H48" i="1"/>
  <c r="F24" i="1"/>
  <c r="H24" i="1" s="1"/>
  <c r="F12" i="1"/>
  <c r="H12" i="1" s="1"/>
  <c r="F47" i="1"/>
  <c r="H47" i="1" s="1"/>
  <c r="D18" i="1"/>
  <c r="D11" i="1"/>
  <c r="F11" i="1" s="1"/>
  <c r="H11" i="1" s="1"/>
  <c r="F18" i="1" l="1"/>
  <c r="H18" i="1" s="1"/>
  <c r="D45" i="1"/>
  <c r="F45" i="1" l="1"/>
  <c r="H45" i="1" s="1"/>
  <c r="D43" i="1"/>
  <c r="F43" i="1" s="1"/>
  <c r="H43" i="1" s="1"/>
</calcChain>
</file>

<file path=xl/sharedStrings.xml><?xml version="1.0" encoding="utf-8"?>
<sst xmlns="http://schemas.openxmlformats.org/spreadsheetml/2006/main" count="98" uniqueCount="86">
  <si>
    <t>TỔNG CÔNG TY</t>
  </si>
  <si>
    <t>CỘNG HÒA XÃ HỘI CHỦ NGHĨA VIỆT NAM</t>
  </si>
  <si>
    <t>ĐIỆN LỰC TP HỒ CHÍ MINH TNHH</t>
  </si>
  <si>
    <t>Độc lập - Tự do - Hạnh phúc</t>
  </si>
  <si>
    <t>CÔNG TY ĐIỆN LỰC VŨNG TÀU</t>
  </si>
  <si>
    <t xml:space="preserve">                                   Vũng Tàu, ngày       tháng       năm 2026</t>
  </si>
  <si>
    <t>BẢNG TỔNG HỢP QUYẾT TOÁN KINH PHÍ SỬA CHỮA LỚN</t>
  </si>
  <si>
    <t>Công trình:</t>
  </si>
  <si>
    <t>STT</t>
  </si>
  <si>
    <t>KHOẢN MỤC CHI PHÍ</t>
  </si>
  <si>
    <t>Cách tính</t>
  </si>
  <si>
    <t>DỰ TOÁN</t>
  </si>
  <si>
    <t>DỰ TOÁN PHÁT SINH</t>
  </si>
  <si>
    <t>DỰ TOÁN ĐƯỢC DUYỆT</t>
  </si>
  <si>
    <t>GIÁ TRỊ QUYẾT TOÁN</t>
  </si>
  <si>
    <t>CHÊNH LỆCH</t>
  </si>
  <si>
    <t>A</t>
  </si>
  <si>
    <t>CHI PHÍ VẬT TƯ, THIẾT BỊ (sau thuế)</t>
  </si>
  <si>
    <t>GTB + GVT</t>
  </si>
  <si>
    <t>Chi phí thiết bị</t>
  </si>
  <si>
    <t>GNK + GTN + GLĐ</t>
  </si>
  <si>
    <t>1.1</t>
  </si>
  <si>
    <t>Thiết bị nhập khẩu</t>
  </si>
  <si>
    <t>1.2</t>
  </si>
  <si>
    <t>VT A cấp</t>
  </si>
  <si>
    <t>Bảng 5</t>
  </si>
  <si>
    <t>1.3</t>
  </si>
  <si>
    <t>Chi phí tháo dỡ, lắp đặt</t>
  </si>
  <si>
    <t>1.4</t>
  </si>
  <si>
    <t>Chi phí thí nghiệm, hiệu chỉnh</t>
  </si>
  <si>
    <t>Bảng TH-TNHC</t>
  </si>
  <si>
    <t>Chi phí vật tư</t>
  </si>
  <si>
    <t>Thuế GTGT</t>
  </si>
  <si>
    <t>B</t>
  </si>
  <si>
    <t>CHI PHÍ SỬA CHỮA</t>
  </si>
  <si>
    <t>G + GTGT</t>
  </si>
  <si>
    <t>Chi phí vật liệu</t>
  </si>
  <si>
    <t>VL1 + VL2 + VL3 + VL4</t>
  </si>
  <si>
    <t>Vật liệu phần không áp dụng đơn giá XDCB</t>
  </si>
  <si>
    <t>Vật liệu phần áp dụng đơn giá XDCB</t>
  </si>
  <si>
    <t>Chênh lệch giá vật liệu phần áp dụng đơn giá XDCB</t>
  </si>
  <si>
    <t>Vật liệu phụ trong SCL thiết bị</t>
  </si>
  <si>
    <t>Chi phí nhân công</t>
  </si>
  <si>
    <t>NC1 + NC2</t>
  </si>
  <si>
    <t>2.1</t>
  </si>
  <si>
    <t>Chi phí nhân công phần không áp dụng đơn giá XDCB</t>
  </si>
  <si>
    <t>2.2</t>
  </si>
  <si>
    <t>Chi phí nhân công phần áp dụng đơn giá XDCB</t>
  </si>
  <si>
    <t>Chi phí máy thi công</t>
  </si>
  <si>
    <t>M1 + M2</t>
  </si>
  <si>
    <t>3.1</t>
  </si>
  <si>
    <t>Chi phí máy thi công phần không áp dụng đơn giá XDCB</t>
  </si>
  <si>
    <t>3.2</t>
  </si>
  <si>
    <t>Chi phí máy thi công phần áp dụng đơn giá XDCB</t>
  </si>
  <si>
    <t>Chi phí làm đêm, làm thêm giờ (nếu có, chỉ tính cho KL công việc tự thực hiện)</t>
  </si>
  <si>
    <t>Chi phí chung</t>
  </si>
  <si>
    <t>KL công việc ĐL tự thực hiện: Không tính; KL công việc thuê ngoài: 55%NC</t>
  </si>
  <si>
    <t>Thu nhập chịu thuế tính trước</t>
  </si>
  <si>
    <t>KL công việc ĐL tự thực hiện: Không tính; KL công việc thuê ngoài: 6%*(VL+NC+MTC+C)</t>
  </si>
  <si>
    <t>Giá trị sửa chữa trước thuế</t>
  </si>
  <si>
    <t>(VL + NC + M + C + TL + NCCĐ)</t>
  </si>
  <si>
    <t>*  KL công việc tự thực hiện: VL x TGTGT (KL công việc thuê ngoài: G x TGTGT)</t>
  </si>
  <si>
    <t>C</t>
  </si>
  <si>
    <t>CHI PHÍ KHÁC (sau thuế)</t>
  </si>
  <si>
    <t>K1 + K2 + K3 +…..</t>
  </si>
  <si>
    <t xml:space="preserve">Chi phí giám sát thi công xây dựng </t>
  </si>
  <si>
    <t>Theo bảng CPK</t>
  </si>
  <si>
    <t>Chi phí giám sát lắp đặt thiết bị</t>
  </si>
  <si>
    <t>Chi phí bảo hiểm công trình</t>
  </si>
  <si>
    <t>Chi phí thẩm tra - phê duyệt quyết toán</t>
  </si>
  <si>
    <t>Vận chuyển VTTB A cấp đến công trường</t>
  </si>
  <si>
    <t>*</t>
  </si>
  <si>
    <t xml:space="preserve">DỰ TOÁN CHƯA CÓ DỰ PHÒNG(SAU THUẾ) </t>
  </si>
  <si>
    <t>Dự toán chưa có dự phòng trước thuế</t>
  </si>
  <si>
    <t>D</t>
  </si>
  <si>
    <t>CHI PHÍ DỰ PHÒNG</t>
  </si>
  <si>
    <t>E</t>
  </si>
  <si>
    <t>Tổng giá trị trước thuế</t>
  </si>
  <si>
    <t>Tổng giá trị thuế GTGT</t>
  </si>
  <si>
    <t>Tổng giá trị sau thuế</t>
  </si>
  <si>
    <t>F</t>
  </si>
  <si>
    <t>GIÁ TRỊ VẬT TƯ THU HỒI</t>
  </si>
  <si>
    <t>CHI PHÍ SCL</t>
  </si>
  <si>
    <t xml:space="preserve">           Người lập biểu</t>
  </si>
  <si>
    <t xml:space="preserve">          KẾ TOÁN TRƯỞNG</t>
  </si>
  <si>
    <t xml:space="preserve">    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</si>
</sst>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\ _₫_-;\-* #,##0\ _₫_-;_-* &quot;-&quot;??\ _₫_-;_-@_-"/>
    <numFmt numFmtId="166" formatCode="_(* #,##0_);_(* \(#,##0\);_(* &quot;-&quot;??_);_(@_)"/>
  </numFmts>
  <fonts count="19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9"/>
      <name val="VNI-Avo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0" fontId="16" fillId="0" borderId="0">
      <alignment vertical="top"/>
    </xf>
  </cellStyleXfs>
  <cellXfs count="8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5" fillId="0" borderId="0" xfId="1" applyNumberFormat="1" applyFont="1" applyAlignment="1"/>
    <xf numFmtId="0" fontId="5" fillId="0" borderId="0" xfId="0" applyFont="1"/>
    <xf numFmtId="165" fontId="6" fillId="0" borderId="0" xfId="1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8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165" fontId="2" fillId="0" borderId="0" xfId="1" applyNumberFormat="1" applyFont="1"/>
    <xf numFmtId="165" fontId="9" fillId="0" borderId="0" xfId="1" applyNumberFormat="1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65" fontId="6" fillId="0" borderId="0" xfId="1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1" fillId="0" borderId="0" xfId="1" applyNumberFormat="1" applyFont="1" applyAlignment="1">
      <alignment vertical="center"/>
    </xf>
    <xf numFmtId="0" fontId="11" fillId="0" borderId="0" xfId="2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5" fontId="11" fillId="0" borderId="0" xfId="1" applyNumberFormat="1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65" fontId="11" fillId="0" borderId="0" xfId="1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center" vertical="center" wrapText="1"/>
    </xf>
    <xf numFmtId="165" fontId="11" fillId="0" borderId="1" xfId="1" applyNumberFormat="1" applyFont="1" applyFill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 wrapText="1"/>
    </xf>
    <xf numFmtId="0" fontId="14" fillId="0" borderId="1" xfId="3" applyFont="1" applyBorder="1" applyAlignment="1">
      <alignment horizontal="center" vertical="center" wrapText="1"/>
    </xf>
    <xf numFmtId="166" fontId="11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7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vertical="center" wrapText="1"/>
    </xf>
    <xf numFmtId="0" fontId="10" fillId="0" borderId="1" xfId="3" applyFont="1" applyBorder="1" applyAlignment="1">
      <alignment horizontal="center" vertical="center" wrapText="1"/>
    </xf>
    <xf numFmtId="166" fontId="6" fillId="2" borderId="1" xfId="1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right" vertical="center" wrapText="1"/>
    </xf>
    <xf numFmtId="166" fontId="6" fillId="0" borderId="1" xfId="1" applyNumberFormat="1" applyFont="1" applyBorder="1" applyAlignment="1">
      <alignment horizontal="center" vertical="center" wrapText="1"/>
    </xf>
    <xf numFmtId="0" fontId="2" fillId="3" borderId="1" xfId="3" applyFont="1" applyFill="1" applyBorder="1" applyAlignment="1">
      <alignment vertical="center" wrapText="1"/>
    </xf>
    <xf numFmtId="0" fontId="6" fillId="0" borderId="1" xfId="3" applyFont="1" applyBorder="1" applyAlignment="1">
      <alignment vertical="center" wrapText="1"/>
    </xf>
    <xf numFmtId="0" fontId="18" fillId="0" borderId="1" xfId="3" applyFont="1" applyBorder="1" applyAlignment="1">
      <alignment horizontal="center" vertical="center"/>
    </xf>
    <xf numFmtId="0" fontId="18" fillId="0" borderId="1" xfId="3" applyFont="1" applyBorder="1" applyAlignment="1">
      <alignment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165" fontId="6" fillId="0" borderId="1" xfId="1" applyNumberFormat="1" applyFont="1" applyBorder="1" applyAlignment="1">
      <alignment horizontal="left" vertical="center" wrapText="1"/>
    </xf>
    <xf numFmtId="0" fontId="6" fillId="0" borderId="1" xfId="3" applyFont="1" applyBorder="1" applyAlignment="1">
      <alignment horizontal="center" vertical="center"/>
    </xf>
    <xf numFmtId="0" fontId="18" fillId="0" borderId="2" xfId="3" applyFont="1" applyBorder="1" applyAlignment="1">
      <alignment horizontal="center" vertical="center" wrapText="1"/>
    </xf>
    <xf numFmtId="0" fontId="18" fillId="0" borderId="2" xfId="3" applyFont="1" applyBorder="1" applyAlignment="1">
      <alignment vertical="center" wrapText="1"/>
    </xf>
    <xf numFmtId="0" fontId="14" fillId="0" borderId="2" xfId="3" applyFont="1" applyBorder="1" applyAlignment="1">
      <alignment horizontal="center" vertical="center" wrapText="1"/>
    </xf>
    <xf numFmtId="0" fontId="17" fillId="0" borderId="2" xfId="3" applyFont="1" applyBorder="1" applyAlignment="1">
      <alignment horizontal="center" vertical="center" wrapText="1"/>
    </xf>
    <xf numFmtId="0" fontId="17" fillId="0" borderId="2" xfId="3" applyFont="1" applyBorder="1" applyAlignment="1">
      <alignment vertical="center" wrapText="1"/>
    </xf>
    <xf numFmtId="0" fontId="10" fillId="0" borderId="2" xfId="3" applyFont="1" applyBorder="1" applyAlignment="1">
      <alignment horizontal="center" vertical="center" wrapText="1"/>
    </xf>
    <xf numFmtId="166" fontId="11" fillId="0" borderId="1" xfId="1" applyNumberFormat="1" applyFont="1" applyFill="1" applyBorder="1" applyAlignment="1">
      <alignment horizontal="center" vertical="center" wrapText="1"/>
    </xf>
    <xf numFmtId="165" fontId="11" fillId="0" borderId="1" xfId="1" applyNumberFormat="1" applyFont="1" applyBorder="1" applyAlignment="1">
      <alignment horizontal="right" vertical="center" wrapText="1"/>
    </xf>
    <xf numFmtId="166" fontId="11" fillId="0" borderId="1" xfId="1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11" fillId="0" borderId="0" xfId="0" applyFont="1" applyAlignment="1">
      <alignment horizontal="right" vertical="top"/>
    </xf>
    <xf numFmtId="165" fontId="11" fillId="0" borderId="0" xfId="1" applyNumberFormat="1" applyFont="1" applyBorder="1" applyAlignment="1">
      <alignment horizontal="right" vertical="top"/>
    </xf>
    <xf numFmtId="165" fontId="6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5" fontId="11" fillId="0" borderId="0" xfId="1" applyNumberFormat="1" applyFont="1" applyAlignment="1">
      <alignment horizontal="left" vertical="center"/>
    </xf>
    <xf numFmtId="165" fontId="6" fillId="0" borderId="0" xfId="1" applyNumberFormat="1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165" fontId="11" fillId="0" borderId="0" xfId="1" applyNumberFormat="1" applyFont="1" applyAlignment="1"/>
    <xf numFmtId="0" fontId="6" fillId="0" borderId="0" xfId="0" applyFont="1" applyAlignment="1">
      <alignment horizontal="left"/>
    </xf>
    <xf numFmtId="166" fontId="6" fillId="0" borderId="0" xfId="0" applyNumberFormat="1" applyFont="1"/>
    <xf numFmtId="165" fontId="6" fillId="0" borderId="0" xfId="0" applyNumberFormat="1" applyFont="1"/>
    <xf numFmtId="165" fontId="6" fillId="0" borderId="0" xfId="1" applyNumberFormat="1" applyFont="1" applyBorder="1" applyAlignment="1">
      <alignment vertical="center"/>
    </xf>
    <xf numFmtId="166" fontId="6" fillId="0" borderId="0" xfId="1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3 8" xfId="3" xr:uid="{A56453F6-7ADA-48D7-9294-C71929D5C513}"/>
    <cellStyle name="Normal_Tong hop" xfId="2" xr:uid="{0F79C5AC-AA7E-44CC-9FEA-8B10AF7FC8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706755</xdr:colOff>
      <xdr:row>3</xdr:row>
      <xdr:rowOff>73964</xdr:rowOff>
    </xdr:from>
    <xdr:to>
      <xdr:col>1</xdr:col>
      <xdr:colOff>2124075</xdr:colOff>
      <xdr:row>3</xdr:row>
      <xdr:rowOff>73964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0D0936A-E6BB-4C50-BCA5-219E67E33470}"/>
            </a:ext>
          </a:extLst>
        </xdr:cNvPr>
        <xdr:cNvCxnSpPr/>
      </xdr:nvCxnSpPr>
      <xdr:spPr>
        <a:xfrm>
          <a:off x="1080135" y="668324"/>
          <a:ext cx="1417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1584960</xdr:colOff>
      <xdr:row>2</xdr:row>
      <xdr:rowOff>78105</xdr:rowOff>
    </xdr:from>
    <xdr:to>
      <xdr:col>5</xdr:col>
      <xdr:colOff>1223010</xdr:colOff>
      <xdr:row>2</xdr:row>
      <xdr:rowOff>78105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E8099B2-87D8-40ED-88A2-34B4B045DF7D}"/>
            </a:ext>
          </a:extLst>
        </xdr:cNvPr>
        <xdr:cNvCxnSpPr/>
      </xdr:nvCxnSpPr>
      <xdr:spPr>
        <a:xfrm>
          <a:off x="6850380" y="474345"/>
          <a:ext cx="14668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.SCL/2026/1.%20SCL%20TSC&#272;%20HT&#272;&#272;_Ph&#7847;n%20TU-TI_2026/VTA.CT2026_SCL%20HTD&#272;_Ph&#7847;n%20TU-TI.xlsx" TargetMode="External"/><Relationship Id="rId2" Type="http://schemas.openxmlformats.org/officeDocument/2006/relationships/externalLinkPath" Target="file:///D:\1.%20TCKT_PCVT\2.SCL\2026\1.%20SCL%20TSC&#272;%20HT&#272;&#272;_Ph&#7847;n%20TU-TI_2026\VTA.CT2026_SCL%20HTD&#272;_Ph&#7847;n%20TU-TI.xlsx" TargetMode="External"/><Relationship Id="rId1" Type="http://schemas.openxmlformats.org/officeDocument/2006/relationships/externalLinkPath" Target="/1.%20TCKT_PCVT/2.SCL/2026/1.%20SCL%20TSC&#272;%20HT&#272;&#272;_Ph&#7847;n%20TU-TI_2026/VTA.CT2026_SCL%20HTD&#272;_Ph&#7847;n%20TU-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g kê thuê ngoài"/>
      <sheetName val="Bảng kê tự thực hiện"/>
      <sheetName val="Sheet1"/>
      <sheetName val="Mẫu 04"/>
      <sheetName val="4.thuyết minh QT"/>
      <sheetName val="12.QĐ QT CT (2)"/>
      <sheetName val="10.Phiếu thẩm tra QT CT (2)"/>
      <sheetName val="11.BC TT QT CT  (2)"/>
    </sheetNames>
    <sheetDataSet>
      <sheetData sheetId="0"/>
      <sheetData sheetId="1">
        <row r="2">
          <cell r="B2" t="str">
            <v>Sửa chữa lớn TSCĐ hệ thống đo đếm trên địa bàn Công ty Điện lực Vũng Tàu năm 2026 - Phần bảo trì TU, TI</v>
          </cell>
        </row>
        <row r="4">
          <cell r="J4">
            <v>11705488281</v>
          </cell>
        </row>
        <row r="5">
          <cell r="J5">
            <v>1294863481</v>
          </cell>
        </row>
        <row r="9">
          <cell r="J9">
            <v>650017588</v>
          </cell>
        </row>
        <row r="10">
          <cell r="J10">
            <v>2191</v>
          </cell>
        </row>
        <row r="11">
          <cell r="J11">
            <v>13650367159</v>
          </cell>
        </row>
        <row r="12">
          <cell r="J12">
            <v>1092029373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6627F-D560-45BC-BF9F-C006B6DCC29B}">
  <dimension ref="A1:O65"/>
  <sheetViews>
    <sheetView tabSelected="1" workbookViewId="0">
      <selection activeCell="A7" sqref="A7:H7"/>
    </sheetView>
  </sheetViews>
  <sheetFormatPr defaultColWidth="9.796875" defaultRowHeight="15.6"/>
  <cols>
    <col min="1" max="1" width="4.8984375" style="18" customWidth="1"/>
    <col min="2" max="2" width="43.296875" style="7" customWidth="1"/>
    <col min="3" max="3" width="19" style="20" hidden="1" customWidth="1"/>
    <col min="4" max="4" width="20.8984375" style="7" customWidth="1"/>
    <col min="5" max="5" width="24" style="7" customWidth="1"/>
    <col min="6" max="6" width="20.8984375" style="7" customWidth="1"/>
    <col min="7" max="7" width="18.5" style="6" customWidth="1"/>
    <col min="8" max="8" width="17.5" style="6" customWidth="1"/>
    <col min="9" max="9" width="16.09765625" style="6" customWidth="1"/>
    <col min="10" max="10" width="17.59765625" style="6" bestFit="1" customWidth="1"/>
    <col min="11" max="11" width="14.296875" style="6" customWidth="1"/>
    <col min="12" max="12" width="15.19921875" style="6" bestFit="1" customWidth="1"/>
    <col min="13" max="13" width="15.19921875" style="7" bestFit="1" customWidth="1"/>
    <col min="14" max="14" width="12.296875" style="7" customWidth="1"/>
    <col min="15" max="15" width="16.3984375" style="7" bestFit="1" customWidth="1"/>
    <col min="16" max="16384" width="9.796875" style="7"/>
  </cols>
  <sheetData>
    <row r="1" spans="1:12">
      <c r="A1" s="1" t="s">
        <v>0</v>
      </c>
      <c r="B1" s="1"/>
      <c r="C1" s="2"/>
      <c r="D1" s="3" t="s">
        <v>1</v>
      </c>
      <c r="E1" s="3"/>
      <c r="F1" s="3"/>
      <c r="G1" s="3"/>
      <c r="H1" s="3"/>
      <c r="I1" s="4"/>
      <c r="J1" s="5"/>
      <c r="K1" s="5"/>
    </row>
    <row r="2" spans="1:12">
      <c r="A2" s="1" t="s">
        <v>2</v>
      </c>
      <c r="B2" s="1"/>
      <c r="C2" s="2"/>
      <c r="D2" s="3" t="s">
        <v>3</v>
      </c>
      <c r="E2" s="3"/>
      <c r="F2" s="3"/>
      <c r="G2" s="3"/>
      <c r="H2" s="3"/>
      <c r="I2" s="4"/>
      <c r="J2" s="5"/>
      <c r="K2" s="5"/>
    </row>
    <row r="3" spans="1:12">
      <c r="A3" s="8" t="s">
        <v>4</v>
      </c>
      <c r="B3" s="8"/>
      <c r="C3" s="9"/>
      <c r="D3" s="1"/>
      <c r="E3" s="1"/>
      <c r="F3" s="1"/>
      <c r="G3" s="1"/>
      <c r="H3" s="1"/>
      <c r="I3" s="10"/>
      <c r="J3" s="11"/>
      <c r="K3" s="11"/>
    </row>
    <row r="4" spans="1:12" ht="16.8">
      <c r="A4" s="12"/>
      <c r="B4" s="13"/>
      <c r="C4" s="14"/>
      <c r="D4" s="15"/>
      <c r="E4" s="15"/>
      <c r="F4" s="15"/>
      <c r="G4" s="16"/>
      <c r="H4" s="16"/>
      <c r="I4" s="17"/>
      <c r="J4" s="13"/>
      <c r="K4" s="13"/>
    </row>
    <row r="5" spans="1:12">
      <c r="B5" s="19"/>
      <c r="D5" s="21" t="s">
        <v>5</v>
      </c>
      <c r="E5" s="21"/>
      <c r="F5" s="21"/>
      <c r="G5" s="21"/>
      <c r="H5" s="21"/>
    </row>
    <row r="6" spans="1:12">
      <c r="B6" s="19"/>
      <c r="D6" s="22"/>
      <c r="E6" s="22"/>
      <c r="F6" s="22"/>
      <c r="G6" s="23"/>
      <c r="H6" s="23"/>
      <c r="I6" s="23"/>
      <c r="J6" s="23"/>
    </row>
    <row r="7" spans="1:12" ht="17.399999999999999">
      <c r="A7" s="24" t="s">
        <v>6</v>
      </c>
      <c r="B7" s="24"/>
      <c r="C7" s="24"/>
      <c r="D7" s="24"/>
      <c r="E7" s="24"/>
      <c r="F7" s="24"/>
      <c r="G7" s="24"/>
      <c r="H7" s="24"/>
      <c r="I7" s="25"/>
    </row>
    <row r="8" spans="1:12" ht="16.8" customHeight="1">
      <c r="A8" s="26" t="s">
        <v>7</v>
      </c>
      <c r="B8" s="26"/>
      <c r="C8" s="27"/>
      <c r="D8" s="28" t="str">
        <f>'[1]Bảng kê tự thực hiện'!B2</f>
        <v>Sửa chữa lớn TSCĐ hệ thống đo đếm trên địa bàn Công ty Điện lực Vũng Tàu năm 2026 - Phần bảo trì TU, TI</v>
      </c>
      <c r="E8" s="28"/>
      <c r="F8" s="28"/>
      <c r="G8" s="28"/>
      <c r="H8" s="28"/>
      <c r="I8" s="29"/>
    </row>
    <row r="9" spans="1:12">
      <c r="A9" s="30"/>
      <c r="B9" s="30"/>
      <c r="C9" s="31"/>
      <c r="D9" s="30"/>
      <c r="E9" s="30"/>
      <c r="F9" s="30"/>
      <c r="G9" s="32"/>
      <c r="H9" s="32"/>
      <c r="I9" s="32"/>
    </row>
    <row r="10" spans="1:12" ht="31.2">
      <c r="A10" s="33" t="s">
        <v>8</v>
      </c>
      <c r="B10" s="33" t="s">
        <v>9</v>
      </c>
      <c r="C10" s="34" t="s">
        <v>10</v>
      </c>
      <c r="D10" s="33" t="s">
        <v>11</v>
      </c>
      <c r="E10" s="33" t="s">
        <v>12</v>
      </c>
      <c r="F10" s="33" t="s">
        <v>13</v>
      </c>
      <c r="G10" s="35" t="s">
        <v>14</v>
      </c>
      <c r="H10" s="36" t="s">
        <v>15</v>
      </c>
    </row>
    <row r="11" spans="1:12" s="41" customFormat="1">
      <c r="A11" s="37" t="s">
        <v>16</v>
      </c>
      <c r="B11" s="38" t="s">
        <v>17</v>
      </c>
      <c r="C11" s="39" t="s">
        <v>18</v>
      </c>
      <c r="D11" s="40">
        <f>D12</f>
        <v>13000351762</v>
      </c>
      <c r="E11" s="40">
        <f>E12+E17+E18</f>
        <v>0</v>
      </c>
      <c r="F11" s="40">
        <f>E11+D11</f>
        <v>13000351762</v>
      </c>
      <c r="G11" s="40">
        <f>G12+G17+G18</f>
        <v>0</v>
      </c>
      <c r="H11" s="40">
        <f>G11-F11</f>
        <v>-13000351762</v>
      </c>
      <c r="I11" s="25"/>
      <c r="J11" s="25"/>
      <c r="K11" s="25"/>
      <c r="L11" s="25"/>
    </row>
    <row r="12" spans="1:12" ht="16.8">
      <c r="A12" s="42">
        <v>1</v>
      </c>
      <c r="B12" s="43" t="s">
        <v>19</v>
      </c>
      <c r="C12" s="44" t="s">
        <v>20</v>
      </c>
      <c r="D12" s="45">
        <f>D14+D16</f>
        <v>13000351762</v>
      </c>
      <c r="E12" s="45"/>
      <c r="F12" s="45">
        <f t="shared" ref="F12:F51" si="0">E12+D12</f>
        <v>13000351762</v>
      </c>
      <c r="G12" s="46">
        <f>SUM(G13:G16)</f>
        <v>0</v>
      </c>
      <c r="H12" s="45">
        <f t="shared" ref="H12:H51" si="1">G12-F12</f>
        <v>-13000351762</v>
      </c>
    </row>
    <row r="13" spans="1:12" ht="16.8">
      <c r="A13" s="42" t="s">
        <v>21</v>
      </c>
      <c r="B13" s="43" t="s">
        <v>22</v>
      </c>
      <c r="C13" s="44"/>
      <c r="D13" s="47">
        <v>0</v>
      </c>
      <c r="E13" s="47">
        <v>0</v>
      </c>
      <c r="F13" s="47">
        <f t="shared" si="0"/>
        <v>0</v>
      </c>
      <c r="G13" s="48"/>
      <c r="H13" s="49">
        <f t="shared" si="1"/>
        <v>0</v>
      </c>
    </row>
    <row r="14" spans="1:12" ht="16.8">
      <c r="A14" s="42" t="s">
        <v>23</v>
      </c>
      <c r="B14" s="50" t="s">
        <v>24</v>
      </c>
      <c r="C14" s="44" t="s">
        <v>25</v>
      </c>
      <c r="D14" s="47">
        <f>'[1]Bảng kê tự thực hiện'!J4</f>
        <v>11705488281</v>
      </c>
      <c r="E14" s="47">
        <v>0</v>
      </c>
      <c r="F14" s="47">
        <f t="shared" si="0"/>
        <v>11705488281</v>
      </c>
      <c r="G14" s="48"/>
      <c r="H14" s="49">
        <f t="shared" si="1"/>
        <v>-11705488281</v>
      </c>
    </row>
    <row r="15" spans="1:12" ht="16.8">
      <c r="A15" s="42" t="s">
        <v>26</v>
      </c>
      <c r="B15" s="43" t="s">
        <v>27</v>
      </c>
      <c r="C15" s="44"/>
      <c r="D15" s="47"/>
      <c r="E15" s="47">
        <v>0</v>
      </c>
      <c r="F15" s="47">
        <f t="shared" si="0"/>
        <v>0</v>
      </c>
      <c r="G15" s="48"/>
      <c r="H15" s="49">
        <f t="shared" si="1"/>
        <v>0</v>
      </c>
    </row>
    <row r="16" spans="1:12" ht="16.8">
      <c r="A16" s="42" t="s">
        <v>28</v>
      </c>
      <c r="B16" s="43" t="s">
        <v>29</v>
      </c>
      <c r="C16" s="44" t="s">
        <v>30</v>
      </c>
      <c r="D16" s="47">
        <f>'[1]Bảng kê tự thực hiện'!J5</f>
        <v>1294863481</v>
      </c>
      <c r="E16" s="47">
        <v>0</v>
      </c>
      <c r="F16" s="47">
        <f t="shared" si="0"/>
        <v>1294863481</v>
      </c>
      <c r="G16" s="48"/>
      <c r="H16" s="49">
        <f t="shared" si="1"/>
        <v>-1294863481</v>
      </c>
    </row>
    <row r="17" spans="1:12" ht="16.8">
      <c r="A17" s="42">
        <v>2</v>
      </c>
      <c r="B17" s="43" t="s">
        <v>31</v>
      </c>
      <c r="C17" s="44"/>
      <c r="D17" s="45">
        <v>0</v>
      </c>
      <c r="E17" s="45">
        <v>0</v>
      </c>
      <c r="F17" s="45">
        <f>D17+E17</f>
        <v>0</v>
      </c>
      <c r="G17" s="45">
        <v>0</v>
      </c>
      <c r="H17" s="45">
        <v>0</v>
      </c>
    </row>
    <row r="18" spans="1:12" ht="16.8">
      <c r="A18" s="42">
        <v>3</v>
      </c>
      <c r="B18" s="51" t="s">
        <v>32</v>
      </c>
      <c r="C18" s="44"/>
      <c r="D18" s="47">
        <f>ROUND((D12+D17)*10%/100%,0)</f>
        <v>1300035176</v>
      </c>
      <c r="E18" s="47"/>
      <c r="F18" s="47">
        <f t="shared" si="0"/>
        <v>1300035176</v>
      </c>
      <c r="G18" s="48">
        <f>G17*0.08+G16*0.08</f>
        <v>0</v>
      </c>
      <c r="H18" s="49">
        <f t="shared" si="1"/>
        <v>-1300035176</v>
      </c>
    </row>
    <row r="19" spans="1:12" s="41" customFormat="1" ht="16.8">
      <c r="A19" s="52" t="s">
        <v>33</v>
      </c>
      <c r="B19" s="53" t="s">
        <v>34</v>
      </c>
      <c r="C19" s="39" t="s">
        <v>35</v>
      </c>
      <c r="D19" s="40">
        <f>SUM(D20:D24)</f>
        <v>0</v>
      </c>
      <c r="E19" s="40">
        <f>E20+E24</f>
        <v>0</v>
      </c>
      <c r="F19" s="40">
        <f t="shared" si="0"/>
        <v>0</v>
      </c>
      <c r="G19" s="54">
        <f>SUM(G20:G24)</f>
        <v>0</v>
      </c>
      <c r="H19" s="40">
        <f t="shared" si="1"/>
        <v>0</v>
      </c>
      <c r="I19" s="25"/>
      <c r="J19" s="25"/>
      <c r="K19" s="25"/>
      <c r="L19" s="25"/>
    </row>
    <row r="20" spans="1:12" ht="16.8">
      <c r="A20" s="42">
        <v>1</v>
      </c>
      <c r="B20" s="43" t="s">
        <v>36</v>
      </c>
      <c r="C20" s="44" t="s">
        <v>37</v>
      </c>
      <c r="D20" s="47"/>
      <c r="E20" s="47"/>
      <c r="F20" s="47">
        <f t="shared" si="0"/>
        <v>0</v>
      </c>
      <c r="G20" s="48"/>
      <c r="H20" s="49">
        <f t="shared" si="1"/>
        <v>0</v>
      </c>
    </row>
    <row r="21" spans="1:12" ht="16.8">
      <c r="A21" s="42" t="s">
        <v>21</v>
      </c>
      <c r="B21" s="43" t="s">
        <v>38</v>
      </c>
      <c r="C21" s="44"/>
      <c r="D21" s="47"/>
      <c r="E21" s="47"/>
      <c r="F21" s="47">
        <f t="shared" si="0"/>
        <v>0</v>
      </c>
      <c r="G21" s="55"/>
      <c r="H21" s="49">
        <f t="shared" si="1"/>
        <v>0</v>
      </c>
    </row>
    <row r="22" spans="1:12" ht="16.8">
      <c r="A22" s="42" t="s">
        <v>23</v>
      </c>
      <c r="B22" s="43" t="s">
        <v>39</v>
      </c>
      <c r="C22" s="44"/>
      <c r="D22" s="47"/>
      <c r="E22" s="47"/>
      <c r="F22" s="47">
        <f t="shared" si="0"/>
        <v>0</v>
      </c>
      <c r="G22" s="48"/>
      <c r="H22" s="49">
        <f t="shared" si="1"/>
        <v>0</v>
      </c>
    </row>
    <row r="23" spans="1:12" ht="33.6">
      <c r="A23" s="42" t="s">
        <v>26</v>
      </c>
      <c r="B23" s="43" t="s">
        <v>40</v>
      </c>
      <c r="C23" s="44"/>
      <c r="D23" s="47"/>
      <c r="E23" s="47"/>
      <c r="F23" s="47"/>
      <c r="G23" s="48"/>
      <c r="H23" s="49"/>
    </row>
    <row r="24" spans="1:12">
      <c r="A24" s="56" t="s">
        <v>28</v>
      </c>
      <c r="B24" s="51" t="s">
        <v>41</v>
      </c>
      <c r="C24" s="44"/>
      <c r="D24" s="47"/>
      <c r="E24" s="47">
        <f>E20*0.08</f>
        <v>0</v>
      </c>
      <c r="F24" s="47">
        <f t="shared" si="0"/>
        <v>0</v>
      </c>
      <c r="G24" s="48"/>
      <c r="H24" s="49">
        <f t="shared" si="1"/>
        <v>0</v>
      </c>
    </row>
    <row r="25" spans="1:12" ht="16.8">
      <c r="A25" s="42">
        <v>2</v>
      </c>
      <c r="B25" s="51" t="s">
        <v>42</v>
      </c>
      <c r="C25" s="44" t="s">
        <v>43</v>
      </c>
      <c r="D25" s="47"/>
      <c r="E25" s="47"/>
      <c r="F25" s="47"/>
      <c r="G25" s="48"/>
      <c r="H25" s="49"/>
    </row>
    <row r="26" spans="1:12" ht="31.2">
      <c r="A26" s="42" t="s">
        <v>44</v>
      </c>
      <c r="B26" s="51" t="s">
        <v>45</v>
      </c>
      <c r="C26" s="44"/>
      <c r="D26" s="47"/>
      <c r="E26" s="47"/>
      <c r="F26" s="47"/>
      <c r="G26" s="48"/>
      <c r="H26" s="49"/>
    </row>
    <row r="27" spans="1:12" ht="16.8">
      <c r="A27" s="42" t="s">
        <v>46</v>
      </c>
      <c r="B27" s="51" t="s">
        <v>47</v>
      </c>
      <c r="C27" s="44"/>
      <c r="D27" s="47"/>
      <c r="E27" s="47"/>
      <c r="F27" s="47"/>
      <c r="G27" s="48"/>
      <c r="H27" s="49"/>
    </row>
    <row r="28" spans="1:12" ht="16.8">
      <c r="A28" s="42">
        <v>3</v>
      </c>
      <c r="B28" s="51" t="s">
        <v>48</v>
      </c>
      <c r="C28" s="44" t="s">
        <v>49</v>
      </c>
      <c r="D28" s="47"/>
      <c r="E28" s="47"/>
      <c r="F28" s="47"/>
      <c r="G28" s="48"/>
      <c r="H28" s="49"/>
    </row>
    <row r="29" spans="1:12" ht="31.2">
      <c r="A29" s="42" t="s">
        <v>50</v>
      </c>
      <c r="B29" s="51" t="s">
        <v>51</v>
      </c>
      <c r="C29" s="44"/>
      <c r="D29" s="47"/>
      <c r="E29" s="47"/>
      <c r="F29" s="47"/>
      <c r="G29" s="48"/>
      <c r="H29" s="49"/>
    </row>
    <row r="30" spans="1:12" ht="16.8">
      <c r="A30" s="42" t="s">
        <v>52</v>
      </c>
      <c r="B30" s="51" t="s">
        <v>53</v>
      </c>
      <c r="C30" s="44"/>
      <c r="D30" s="47"/>
      <c r="E30" s="47"/>
      <c r="F30" s="47"/>
      <c r="G30" s="48"/>
      <c r="H30" s="49"/>
    </row>
    <row r="31" spans="1:12" ht="31.2">
      <c r="A31" s="42">
        <v>4</v>
      </c>
      <c r="B31" s="51" t="s">
        <v>54</v>
      </c>
      <c r="C31" s="44"/>
      <c r="D31" s="47"/>
      <c r="E31" s="47"/>
      <c r="F31" s="47"/>
      <c r="G31" s="48"/>
      <c r="H31" s="49"/>
    </row>
    <row r="32" spans="1:12" ht="30.6">
      <c r="A32" s="42">
        <v>5</v>
      </c>
      <c r="B32" s="51" t="s">
        <v>55</v>
      </c>
      <c r="C32" s="44" t="s">
        <v>56</v>
      </c>
      <c r="D32" s="47"/>
      <c r="E32" s="47"/>
      <c r="F32" s="47"/>
      <c r="G32" s="48"/>
      <c r="H32" s="49"/>
    </row>
    <row r="33" spans="1:12" ht="30.6">
      <c r="A33" s="42">
        <v>6</v>
      </c>
      <c r="B33" s="51" t="s">
        <v>57</v>
      </c>
      <c r="C33" s="44" t="s">
        <v>58</v>
      </c>
      <c r="D33" s="47"/>
      <c r="E33" s="47"/>
      <c r="F33" s="47"/>
      <c r="G33" s="48"/>
      <c r="H33" s="49"/>
    </row>
    <row r="34" spans="1:12" ht="16.8">
      <c r="A34" s="42">
        <v>7</v>
      </c>
      <c r="B34" s="51" t="s">
        <v>59</v>
      </c>
      <c r="C34" s="44" t="s">
        <v>60</v>
      </c>
      <c r="D34" s="47"/>
      <c r="E34" s="47"/>
      <c r="F34" s="47"/>
      <c r="G34" s="48"/>
      <c r="H34" s="49"/>
    </row>
    <row r="35" spans="1:12" ht="30.6">
      <c r="A35" s="42">
        <v>8</v>
      </c>
      <c r="B35" s="51" t="s">
        <v>32</v>
      </c>
      <c r="C35" s="44" t="s">
        <v>61</v>
      </c>
      <c r="D35" s="47"/>
      <c r="E35" s="47"/>
      <c r="F35" s="47"/>
      <c r="G35" s="48"/>
      <c r="H35" s="49"/>
    </row>
    <row r="36" spans="1:12" s="41" customFormat="1" ht="16.8">
      <c r="A36" s="52" t="s">
        <v>62</v>
      </c>
      <c r="B36" s="53" t="s">
        <v>63</v>
      </c>
      <c r="C36" s="39" t="s">
        <v>64</v>
      </c>
      <c r="D36" s="40">
        <f>D37+D38+D39</f>
        <v>0</v>
      </c>
      <c r="E36" s="40"/>
      <c r="F36" s="40">
        <f t="shared" si="0"/>
        <v>0</v>
      </c>
      <c r="G36" s="54">
        <f>SUM(G37:G42)</f>
        <v>0</v>
      </c>
      <c r="H36" s="40">
        <f t="shared" si="1"/>
        <v>0</v>
      </c>
      <c r="I36" s="25"/>
      <c r="J36" s="25"/>
      <c r="K36" s="25"/>
      <c r="L36" s="25"/>
    </row>
    <row r="37" spans="1:12">
      <c r="A37" s="56">
        <v>1</v>
      </c>
      <c r="B37" s="51" t="s">
        <v>65</v>
      </c>
      <c r="C37" s="44" t="s">
        <v>66</v>
      </c>
      <c r="D37" s="47"/>
      <c r="E37" s="47"/>
      <c r="F37" s="47">
        <f t="shared" si="0"/>
        <v>0</v>
      </c>
      <c r="G37" s="48"/>
      <c r="H37" s="49">
        <f t="shared" si="1"/>
        <v>0</v>
      </c>
    </row>
    <row r="38" spans="1:12">
      <c r="A38" s="56">
        <v>2</v>
      </c>
      <c r="B38" s="51" t="s">
        <v>67</v>
      </c>
      <c r="C38" s="44" t="s">
        <v>66</v>
      </c>
      <c r="D38" s="47"/>
      <c r="E38" s="47"/>
      <c r="F38" s="47">
        <f t="shared" si="0"/>
        <v>0</v>
      </c>
      <c r="G38" s="48"/>
      <c r="H38" s="49">
        <f t="shared" si="1"/>
        <v>0</v>
      </c>
    </row>
    <row r="39" spans="1:12">
      <c r="A39" s="56">
        <v>3</v>
      </c>
      <c r="B39" s="51" t="s">
        <v>68</v>
      </c>
      <c r="C39" s="44" t="s">
        <v>66</v>
      </c>
      <c r="D39" s="47"/>
      <c r="E39" s="47"/>
      <c r="F39" s="47">
        <f t="shared" si="0"/>
        <v>0</v>
      </c>
      <c r="G39" s="48"/>
      <c r="H39" s="49">
        <f t="shared" si="1"/>
        <v>0</v>
      </c>
    </row>
    <row r="40" spans="1:12" ht="16.8">
      <c r="A40" s="42">
        <v>4</v>
      </c>
      <c r="B40" s="43" t="s">
        <v>69</v>
      </c>
      <c r="C40" s="44" t="s">
        <v>66</v>
      </c>
      <c r="D40" s="47"/>
      <c r="E40" s="47"/>
      <c r="F40" s="47">
        <f t="shared" si="0"/>
        <v>0</v>
      </c>
      <c r="G40" s="48"/>
      <c r="H40" s="49">
        <f t="shared" si="1"/>
        <v>0</v>
      </c>
    </row>
    <row r="41" spans="1:12" ht="16.8">
      <c r="A41" s="42">
        <v>5</v>
      </c>
      <c r="B41" s="43" t="s">
        <v>70</v>
      </c>
      <c r="C41" s="44"/>
      <c r="D41" s="47"/>
      <c r="E41" s="47"/>
      <c r="F41" s="47">
        <f t="shared" si="0"/>
        <v>0</v>
      </c>
      <c r="G41" s="48"/>
      <c r="H41" s="49">
        <f t="shared" si="1"/>
        <v>0</v>
      </c>
    </row>
    <row r="42" spans="1:12" ht="16.8">
      <c r="A42" s="42">
        <v>6</v>
      </c>
      <c r="B42" s="51" t="s">
        <v>32</v>
      </c>
      <c r="C42" s="44"/>
      <c r="D42" s="47"/>
      <c r="E42" s="47"/>
      <c r="F42" s="47">
        <f t="shared" si="0"/>
        <v>0</v>
      </c>
      <c r="G42" s="48"/>
      <c r="H42" s="49">
        <f t="shared" si="1"/>
        <v>0</v>
      </c>
    </row>
    <row r="43" spans="1:12" s="41" customFormat="1" ht="33.6">
      <c r="A43" s="57" t="s">
        <v>71</v>
      </c>
      <c r="B43" s="58" t="s">
        <v>72</v>
      </c>
      <c r="C43" s="59"/>
      <c r="D43" s="40">
        <f>D44+D45</f>
        <v>14300386938</v>
      </c>
      <c r="E43" s="40"/>
      <c r="F43" s="40">
        <f t="shared" si="0"/>
        <v>14300386938</v>
      </c>
      <c r="G43" s="54"/>
      <c r="H43" s="40">
        <f t="shared" si="1"/>
        <v>-14300386938</v>
      </c>
      <c r="I43" s="25"/>
      <c r="J43" s="25"/>
      <c r="K43" s="25"/>
      <c r="L43" s="25"/>
    </row>
    <row r="44" spans="1:12" ht="16.8">
      <c r="A44" s="60" t="s">
        <v>71</v>
      </c>
      <c r="B44" s="61" t="s">
        <v>73</v>
      </c>
      <c r="C44" s="62"/>
      <c r="D44" s="45">
        <f>D12+D17+D20+D21+D22+D37+D38+D39</f>
        <v>13000351762</v>
      </c>
      <c r="E44" s="45"/>
      <c r="F44" s="40">
        <f t="shared" si="0"/>
        <v>13000351762</v>
      </c>
      <c r="G44" s="46"/>
      <c r="H44" s="40">
        <f t="shared" si="1"/>
        <v>-13000351762</v>
      </c>
    </row>
    <row r="45" spans="1:12" ht="16.8">
      <c r="A45" s="42" t="s">
        <v>71</v>
      </c>
      <c r="B45" s="43" t="s">
        <v>32</v>
      </c>
      <c r="C45" s="44"/>
      <c r="D45" s="45">
        <f>D18+D35+D42</f>
        <v>1300035176</v>
      </c>
      <c r="E45" s="45"/>
      <c r="F45" s="40">
        <f t="shared" si="0"/>
        <v>1300035176</v>
      </c>
      <c r="G45" s="46"/>
      <c r="H45" s="40">
        <f t="shared" si="1"/>
        <v>-1300035176</v>
      </c>
    </row>
    <row r="46" spans="1:12" s="41" customFormat="1" ht="16.8">
      <c r="A46" s="52" t="s">
        <v>74</v>
      </c>
      <c r="B46" s="53" t="s">
        <v>75</v>
      </c>
      <c r="C46" s="39"/>
      <c r="D46" s="63">
        <f>'[1]Bảng kê tự thực hiện'!J9</f>
        <v>650017588</v>
      </c>
      <c r="E46" s="63"/>
      <c r="F46" s="63">
        <f t="shared" si="0"/>
        <v>650017588</v>
      </c>
      <c r="G46" s="64"/>
      <c r="H46" s="65">
        <f t="shared" si="1"/>
        <v>-650017588</v>
      </c>
      <c r="I46" s="25"/>
      <c r="J46" s="25"/>
      <c r="K46" s="25"/>
      <c r="L46" s="25"/>
    </row>
    <row r="47" spans="1:12" s="41" customFormat="1" ht="16.8">
      <c r="A47" s="52" t="s">
        <v>76</v>
      </c>
      <c r="B47" s="53" t="s">
        <v>77</v>
      </c>
      <c r="C47" s="39"/>
      <c r="D47" s="40">
        <f>'[1]Bảng kê tự thực hiện'!J11</f>
        <v>13650367159</v>
      </c>
      <c r="E47" s="40"/>
      <c r="F47" s="40">
        <f t="shared" si="0"/>
        <v>13650367159</v>
      </c>
      <c r="G47" s="40">
        <f>G12+G17+G38+G39</f>
        <v>0</v>
      </c>
      <c r="H47" s="40">
        <f t="shared" si="1"/>
        <v>-13650367159</v>
      </c>
      <c r="I47" s="25"/>
      <c r="J47" s="25"/>
      <c r="K47" s="25"/>
      <c r="L47" s="25"/>
    </row>
    <row r="48" spans="1:12" s="41" customFormat="1" ht="16.8">
      <c r="A48" s="52">
        <v>1</v>
      </c>
      <c r="B48" s="53" t="s">
        <v>78</v>
      </c>
      <c r="C48" s="39"/>
      <c r="D48" s="63">
        <f>'[1]Bảng kê tự thực hiện'!J12</f>
        <v>1092029373</v>
      </c>
      <c r="E48" s="63"/>
      <c r="F48" s="63">
        <f t="shared" si="0"/>
        <v>1092029373</v>
      </c>
      <c r="G48" s="63">
        <f>G45</f>
        <v>0</v>
      </c>
      <c r="H48" s="65">
        <f t="shared" si="1"/>
        <v>-1092029373</v>
      </c>
      <c r="I48" s="25"/>
      <c r="J48" s="25"/>
      <c r="K48" s="25"/>
      <c r="L48" s="25"/>
    </row>
    <row r="49" spans="1:15" s="41" customFormat="1" ht="16.8">
      <c r="A49" s="52">
        <v>2</v>
      </c>
      <c r="B49" s="53" t="s">
        <v>79</v>
      </c>
      <c r="C49" s="39"/>
      <c r="D49" s="40">
        <f>D47+D48</f>
        <v>14742396532</v>
      </c>
      <c r="E49" s="40"/>
      <c r="F49" s="40">
        <f t="shared" si="0"/>
        <v>14742396532</v>
      </c>
      <c r="G49" s="40">
        <f>G47+G48</f>
        <v>0</v>
      </c>
      <c r="H49" s="40">
        <f t="shared" si="1"/>
        <v>-14742396532</v>
      </c>
      <c r="I49" s="25"/>
      <c r="J49" s="25"/>
      <c r="K49" s="25"/>
      <c r="L49" s="25"/>
    </row>
    <row r="50" spans="1:15" s="41" customFormat="1" ht="16.8">
      <c r="A50" s="52" t="s">
        <v>80</v>
      </c>
      <c r="B50" s="53" t="s">
        <v>81</v>
      </c>
      <c r="C50" s="39"/>
      <c r="D50" s="63">
        <f>'[1]Bảng kê tự thực hiện'!J10</f>
        <v>2191</v>
      </c>
      <c r="E50" s="63"/>
      <c r="F50" s="63">
        <f t="shared" si="0"/>
        <v>2191</v>
      </c>
      <c r="G50" s="64"/>
      <c r="H50" s="65">
        <f t="shared" si="1"/>
        <v>-2191</v>
      </c>
      <c r="I50" s="25"/>
      <c r="J50" s="25"/>
      <c r="K50" s="25"/>
      <c r="L50" s="25"/>
    </row>
    <row r="51" spans="1:15" s="41" customFormat="1" ht="16.8">
      <c r="A51" s="52"/>
      <c r="B51" s="66" t="s">
        <v>82</v>
      </c>
      <c r="C51" s="39"/>
      <c r="D51" s="40">
        <f>'[1]Bảng kê tự thực hiện'!J11</f>
        <v>13650367159</v>
      </c>
      <c r="E51" s="40"/>
      <c r="F51" s="40">
        <f t="shared" si="0"/>
        <v>13650367159</v>
      </c>
      <c r="G51" s="40">
        <f>G47-G50</f>
        <v>0</v>
      </c>
      <c r="H51" s="40">
        <f t="shared" si="1"/>
        <v>-13650367159</v>
      </c>
      <c r="I51" s="25"/>
      <c r="J51" s="25"/>
      <c r="K51" s="25"/>
      <c r="L51" s="25"/>
    </row>
    <row r="52" spans="1:15">
      <c r="A52" s="67"/>
      <c r="B52" s="68"/>
      <c r="C52" s="69"/>
      <c r="D52" s="70"/>
      <c r="E52" s="70"/>
      <c r="F52" s="70"/>
      <c r="G52" s="71"/>
      <c r="H52" s="71"/>
      <c r="M52" s="72"/>
      <c r="O52" s="72"/>
    </row>
    <row r="53" spans="1:15" s="15" customFormat="1">
      <c r="A53" s="73" t="s">
        <v>83</v>
      </c>
      <c r="B53" s="74"/>
      <c r="C53" s="75"/>
      <c r="D53" s="76" t="s">
        <v>84</v>
      </c>
      <c r="E53" s="76"/>
      <c r="F53" s="76"/>
      <c r="G53" s="76"/>
      <c r="H53" s="77" t="s">
        <v>85</v>
      </c>
      <c r="I53" s="25"/>
      <c r="J53" s="6"/>
      <c r="K53" s="78"/>
      <c r="L53" s="78"/>
      <c r="M53" s="72"/>
      <c r="O53" s="72"/>
    </row>
    <row r="54" spans="1:15" s="15" customFormat="1">
      <c r="A54" s="79"/>
      <c r="B54" s="80"/>
      <c r="C54" s="81"/>
      <c r="D54" s="82"/>
      <c r="E54" s="82"/>
      <c r="F54" s="82"/>
      <c r="G54" s="21"/>
      <c r="H54" s="21"/>
      <c r="I54" s="83"/>
      <c r="J54" s="6"/>
      <c r="K54" s="78"/>
      <c r="L54" s="78"/>
      <c r="M54" s="72"/>
      <c r="O54" s="72"/>
    </row>
    <row r="55" spans="1:15" s="15" customFormat="1">
      <c r="A55" s="84"/>
      <c r="B55" s="84"/>
      <c r="C55" s="81"/>
      <c r="D55" s="85"/>
      <c r="G55" s="78"/>
      <c r="H55" s="78"/>
      <c r="I55" s="78"/>
      <c r="J55" s="6"/>
      <c r="K55" s="78"/>
      <c r="L55" s="78"/>
      <c r="M55" s="72"/>
      <c r="O55" s="72"/>
    </row>
    <row r="56" spans="1:15" s="15" customFormat="1">
      <c r="A56" s="79"/>
      <c r="B56" s="80"/>
      <c r="C56" s="81"/>
      <c r="G56" s="78"/>
      <c r="H56" s="78"/>
      <c r="I56" s="78"/>
      <c r="J56" s="78"/>
      <c r="K56" s="78"/>
      <c r="L56" s="78"/>
      <c r="O56" s="86"/>
    </row>
    <row r="57" spans="1:15" s="15" customFormat="1">
      <c r="A57" s="79"/>
      <c r="B57" s="80"/>
      <c r="C57" s="81"/>
      <c r="G57" s="78"/>
      <c r="H57" s="78"/>
      <c r="I57" s="78"/>
      <c r="J57" s="78"/>
      <c r="K57" s="78"/>
      <c r="L57" s="78"/>
    </row>
    <row r="58" spans="1:15" s="15" customFormat="1">
      <c r="A58" s="79"/>
      <c r="B58" s="80"/>
      <c r="C58" s="81"/>
      <c r="G58" s="78"/>
      <c r="H58" s="78"/>
      <c r="I58" s="78"/>
      <c r="J58" s="78"/>
      <c r="K58" s="78"/>
      <c r="L58" s="78"/>
    </row>
    <row r="59" spans="1:15" s="15" customFormat="1">
      <c r="A59" s="73"/>
      <c r="B59" s="74"/>
      <c r="C59" s="75"/>
      <c r="D59" s="76"/>
      <c r="E59" s="76"/>
      <c r="F59" s="76"/>
      <c r="G59" s="76"/>
      <c r="H59" s="77"/>
      <c r="I59" s="25"/>
      <c r="J59" s="25"/>
      <c r="K59" s="78"/>
      <c r="L59" s="78"/>
    </row>
    <row r="60" spans="1:15">
      <c r="G60" s="87"/>
      <c r="H60" s="87"/>
      <c r="I60" s="87"/>
      <c r="J60" s="87"/>
      <c r="K60" s="87"/>
      <c r="L60" s="87"/>
    </row>
    <row r="65" spans="4:6">
      <c r="D65" s="88"/>
      <c r="E65" s="88"/>
      <c r="F65" s="88"/>
    </row>
  </sheetData>
  <mergeCells count="14">
    <mergeCell ref="A55:B55"/>
    <mergeCell ref="D59:G59"/>
    <mergeCell ref="D5:H5"/>
    <mergeCell ref="A7:H7"/>
    <mergeCell ref="A8:B8"/>
    <mergeCell ref="D8:H8"/>
    <mergeCell ref="D53:G53"/>
    <mergeCell ref="G54:H54"/>
    <mergeCell ref="A1:B1"/>
    <mergeCell ref="D1:H1"/>
    <mergeCell ref="A2:B2"/>
    <mergeCell ref="D2:H2"/>
    <mergeCell ref="A3:B3"/>
    <mergeCell ref="D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2026-03-27T09:09:51Z</dcterms:created>
  <dcterms:modified xsi:type="dcterms:W3CDTF">2026-03-27T09:10:23Z</dcterms:modified>
</cp:coreProperties>
</file>